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3b3461f41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ba68af8d6184b61"/>
    <x:sheet xmlns:r="http://schemas.openxmlformats.org/officeDocument/2006/relationships" name="Dataset_Metadata" sheetId="2" r:id="R7adfca50605e4cb9"/>
    <x:sheet xmlns:r="http://schemas.openxmlformats.org/officeDocument/2006/relationships" name="Column_Definitions" sheetId="3" r:id="Rfc6f3ebc265c4ced"/>
    <x:sheet xmlns:r="http://schemas.openxmlformats.org/officeDocument/2006/relationships" name="Analysis_Tracking" sheetId="4" r:id="R603167cfaefa44a8"/>
    <x:sheet xmlns:r="http://schemas.openxmlformats.org/officeDocument/2006/relationships" name="Source_Notes" sheetId="5" r:id="R97d6fe48b8b8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ont>
        <x:b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ad37df04340e4" /><Relationship Type="http://schemas.openxmlformats.org/officeDocument/2006/relationships/theme" Target="/xl/theme/theme1.xml" Id="Rc17d8a3f2e7e44ac" /><Relationship Type="http://schemas.openxmlformats.org/officeDocument/2006/relationships/sharedStrings" Target="/xl/sharedStrings.xml" Id="Re59775174f0b417a" /><Relationship Type="http://schemas.openxmlformats.org/officeDocument/2006/relationships/worksheet" Target="/xl/worksheets/sheet1.xml" Id="Raba68af8d6184b61" /><Relationship Type="http://schemas.openxmlformats.org/officeDocument/2006/relationships/worksheet" Target="/xl/worksheets/sheet2.xml" Id="R7adfca50605e4cb9" /><Relationship Type="http://schemas.openxmlformats.org/officeDocument/2006/relationships/worksheet" Target="/xl/worksheets/sheet3.xml" Id="Rfc6f3ebc265c4ced" /><Relationship Type="http://schemas.openxmlformats.org/officeDocument/2006/relationships/worksheet" Target="/xl/worksheets/sheet4.xml" Id="R603167cfaefa44a8" /><Relationship Type="http://schemas.openxmlformats.org/officeDocument/2006/relationships/worksheet" Target="/xl/worksheets/sheet5.xml" Id="R97d6fe48b8b84829" /></Relationships>
</file>

<file path=xl/tables/table1.xml><?xml version="1.0" encoding="utf-8"?>
<x:table xmlns:x="http://schemas.openxmlformats.org/spreadsheetml/2006/main" id="1" name="MetadataTable" displayName="MetadataTable" ref="A1:AA6" headerRowCount="1" totalsRowCount="0" totalsRowShown="0">
  <x:tableColumns count="27">
    <x:tableColumn id="1" name="Study_Accession"/>
    <x:tableColumn id="2" name="FileSet_Accession"/>
    <x:tableColumn id="3" name="Filename"/>
    <x:tableColumn id="4" name="Phenotype"/>
    <x:tableColumn id="5" name="Analysis_Role"/>
    <x:tableColumn id="6" name="Study_Type"/>
    <x:tableColumn id="7" name="Cohort"/>
    <x:tableColumn id="8" name="Population_Ancestry"/>
    <x:tableColumn id="9" name="Sample_Size_Total"/>
    <x:tableColumn id="10" name="Cases"/>
    <x:tableColumn id="11" name="Controls"/>
    <x:tableColumn id="12" name="Age_or_Inclusion"/>
    <x:tableColumn id="13" name="Genome_Build"/>
    <x:tableColumn id="14" name="Data_Type"/>
    <x:tableColumn id="15" name="Open_Columns"/>
    <x:tableColumn id="16" name="Effect_Allele_Available"/>
    <x:tableColumn id="17" name="Effect_Size_Available"/>
    <x:tableColumn id="18" name="Standard_Error_Available"/>
    <x:tableColumn id="19" name="P_Value_Available"/>
    <x:tableColumn id="20" name="Variant_QC_or_Filters"/>
    <x:tableColumn id="21" name="Access_Level"/>
    <x:tableColumn id="22" name="Publication_DOI"/>
    <x:tableColumn id="23" name="NIAGADS_URL"/>
    <x:tableColumn id="24" name="File_Version"/>
    <x:tableColumn id="25" name="Release_Date"/>
    <x:tableColumn id="26" name="File_Size_MB"/>
    <x:tableColumn id="2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finitionsTable" displayName="DefinitionsTable" ref="A1:B26" headerRowCount="1" totalsRowCount="0" totalsRowShown="0">
  <x:tableColumns count="2">
    <x:tableColumn id="1" name="Field"/>
    <x:tableColumn id="2" name="Defin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kingTable" displayName="TrackingTable" ref="A1:J6" headerRowCount="1" totalsRowCount="0" totalsRowShown="0">
  <x:tableColumns count="10">
    <x:tableColumn id="1" name="Study"/>
    <x:tableColumn id="2" name="Filename"/>
    <x:tableColumn id="3" name="Phenotype"/>
    <x:tableColumn id="4" name="Raw_File_Collected"/>
    <x:tableColumn id="5" name="README_Collected"/>
    <x:tableColumn id="6" name="Metadata_Reviewed"/>
    <x:tableColumn id="7" name="Status"/>
    <x:tableColumn id="8" name="Next_Step"/>
    <x:tableColumn id="9" name="QC_Date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90cd33a6c845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f144b621e24f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e2993ce125419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4" t="str">
        <x:v>AD GWAS Metadata &amp; Analysis Tracker</x:v>
      </x:c>
      <x:c r="B1" s="4"/>
      <x:c r="C1" s="4"/>
      <x:c r="D1" s="4"/>
      <x:c r="E1" s="4"/>
      <x:c r="F1" s="4"/>
      <x:c r="G1" s="4"/>
      <x:c r="H1" s="4"/>
    </x:row>
    <x:row r="2" ht="22" customHeight="1"/>
    <x:row r="3" ht="22" customHeight="1">
      <x:c r="A3" s="12" t="str">
        <x:v>Metric</x:v>
      </x:c>
      <x:c r="B3" s="12" t="str">
        <x:v>Value</x:v>
      </x:c>
    </x:row>
    <x:row r="4" ht="22" customHeight="1">
      <x:c r="A4" t="str">
        <x:v>Selected GWAS files</x:v>
      </x:c>
      <x:c r="B4" t="n">
        <x:f>COUNTA(Dataset_Metadata!C2:C100)</x:f>
        <x:v>5</x:v>
      </x:c>
    </x:row>
    <x:row r="5" ht="22" customHeight="1">
      <x:c r="A5" t="str">
        <x:v>NG00175 pathology files</x:v>
      </x:c>
      <x:c r="B5" t="n">
        <x:f>COUNTIF(Dataset_Metadata!A2:A100,"NG00175")</x:f>
        <x:v>3</x:v>
      </x:c>
    </x:row>
    <x:row r="6" ht="22" customHeight="1">
      <x:c r="A6" t="str">
        <x:v>NG00182 AD diagnosis files</x:v>
      </x:c>
      <x:c r="B6" t="n">
        <x:f>COUNTIF(Dataset_Metadata!A2:A100,"NG00182")</x:f>
        <x:v>2</x:v>
      </x:c>
    </x:row>
    <x:row r="7" ht="22" customHeight="1">
      <x:c r="A7" t="str">
        <x:v>Files marked Collected</x:v>
      </x:c>
      <x:c r="B7" t="n">
        <x:f>COUNTIF(Analysis_Tracking!G2:G100,"Collected")</x:f>
        <x:v>5</x:v>
      </x:c>
    </x:row>
    <x:row r="8" ht="22" customHeight="1">
      <x:c r="A8" t="str">
        <x:v>QC Complete</x:v>
      </x:c>
      <x:c r="B8" t="n">
        <x:f>COUNTIF(Analysis_Tracking!G2:G100,"QC Complete")</x:f>
        <x:v>0</x:v>
      </x:c>
    </x:row>
    <x:row r="9" ht="22" customHeight="1"/>
    <x:row r="10" ht="22" customHeight="1">
      <x:c r="A10" s="21" t="str">
        <x:v>Current project use</x:v>
      </x:c>
      <x:c r="B10" s="21"/>
      <x:c r="C10" s="21"/>
      <x:c r="D10" s="21"/>
      <x:c r="E10" s="21"/>
      <x:c r="F10" s="21"/>
      <x:c r="G10" s="21"/>
      <x:c r="H10" s="21"/>
    </x:row>
    <x:row r="11" ht="28" customHeight="1">
      <x:c r="A11" s="26" t="str">
        <x:v>NG00175 supplies pathology-focused GWAS signals for amyloid-beta, Braak/tau, and CERAD neuritic plaques. NG00182 supplies AD case-control association results. After QC, the planned workflow is significant/suggestive variant filtering -&gt; independent locus identification -&gt; variant-to-gene mapping -&gt; cross-study candidate gene comparison -&gt; SEA-AD follow-up.</x:v>
      </x:c>
      <x:c r="B11" s="26"/>
      <x:c r="C11" s="26"/>
      <x:c r="D11" s="26"/>
      <x:c r="E11" s="26"/>
      <x:c r="F11" s="26"/>
      <x:c r="G11" s="26"/>
      <x:c r="H11" s="26"/>
    </x:row>
    <x:row r="12" ht="28" customHeight="1">
      <x:c r="A12" s="26"/>
      <x:c r="B12" s="26"/>
      <x:c r="C12" s="26"/>
      <x:c r="D12" s="26"/>
      <x:c r="E12" s="26"/>
      <x:c r="F12" s="26"/>
      <x:c r="G12" s="26"/>
      <x:c r="H12" s="26"/>
    </x:row>
    <x:row r="13" ht="28" customHeight="1">
      <x:c r="A13" s="26"/>
      <x:c r="B13" s="26"/>
      <x:c r="C13" s="26"/>
      <x:c r="D13" s="26"/>
      <x:c r="E13" s="26"/>
      <x:c r="F13" s="26"/>
      <x:c r="G13" s="26"/>
      <x:c r="H13" s="26"/>
    </x:row>
    <x:row r="14" ht="28" customHeight="1">
      <x:c r="A14" s="26"/>
      <x:c r="B14" s="26"/>
      <x:c r="C14" s="26"/>
      <x:c r="D14" s="26"/>
      <x:c r="E14" s="26"/>
      <x:c r="F14" s="26"/>
      <x:c r="G14" s="26"/>
      <x:c r="H14" s="26"/>
    </x:row>
    <x:row r="15" ht="22" customHeight="1"/>
    <x:row r="16" ht="22" customHeight="1">
      <x:c r="A16" s="30" t="str">
        <x:v>Immediate next step: inspect headers, row counts, missingness, duplicate variants, p-value ranges, and chromosome/position formats before filtering or gene mapping.</x:v>
      </x:c>
      <x:c r="B16" s="30"/>
      <x:c r="C16" s="30"/>
      <x:c r="D16" s="30"/>
      <x:c r="E16" s="30"/>
      <x:c r="F16" s="30"/>
      <x:c r="G16" s="30"/>
      <x:c r="H16" s="30"/>
    </x:row>
    <x:row r="17" ht="22" customHeight="1"/>
    <x:row r="18" ht="22" customHeight="1"/>
  </x:sheetData>
  <x:mergeCells>
    <x:mergeCell ref="A1:H1"/>
    <x:mergeCell ref="A10:H10"/>
    <x:mergeCell ref="A11:H1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8" hidden="0" customWidth="1"/>
    <x:col min="4" max="4" width="28" hidden="0" customWidth="1"/>
    <x:col min="5" max="5" width="34" hidden="0" customWidth="1"/>
    <x:col min="6" max="6" width="36" hidden="0" customWidth="1"/>
    <x:col min="7" max="7" width="24" hidden="0" customWidth="1"/>
    <x:col min="8" max="8" width="34" hidden="0" customWidth="1"/>
    <x:col min="9" max="9" width="24" hidden="0" customWidth="1"/>
    <x:col min="10" max="10" width="10" hidden="0" customWidth="1"/>
    <x:col min="11" max="11" width="10" hidden="0" customWidth="1"/>
    <x:col min="12" max="12" width="28" hidden="0" customWidth="1"/>
    <x:col min="13" max="13" width="13" hidden="0" customWidth="1"/>
    <x:col min="14" max="14" width="28" hidden="0" customWidth="1"/>
    <x:col min="15" max="15" width="40" hidden="0" customWidth="1"/>
    <x:col min="16" max="16" width="13" hidden="0" customWidth="1"/>
    <x:col min="17" max="17" width="13" hidden="0" customWidth="1"/>
    <x:col min="18" max="18" width="13" hidden="0" customWidth="1"/>
    <x:col min="19" max="19" width="12" hidden="0" customWidth="1"/>
    <x:col min="20" max="20" width="40" hidden="0" customWidth="1"/>
    <x:col min="21" max="21" width="28" hidden="0" customWidth="1"/>
    <x:col min="22" max="22" width="34" hidden="0" customWidth="1"/>
    <x:col min="23" max="23" width="36" hidden="0" customWidth="1"/>
    <x:col min="24" max="24" width="14" hidden="0" customWidth="1"/>
    <x:col min="25" max="25" width="14" hidden="0" customWidth="1"/>
    <x:col min="26" max="26" width="13" hidden="0" customWidth="1"/>
    <x:col min="27" max="27" width="42" hidden="0" customWidth="1"/>
  </x:cols>
  <x:sheetData>
    <x:row r="1">
      <x:c r="A1" s="34" t="str">
        <x:v>Study_Accession</x:v>
      </x:c>
      <x:c r="B1" s="34" t="str">
        <x:v>FileSet_Accession</x:v>
      </x:c>
      <x:c r="C1" s="34" t="str">
        <x:v>Filename</x:v>
      </x:c>
      <x:c r="D1" s="34" t="str">
        <x:v>Phenotype</x:v>
      </x:c>
      <x:c r="E1" s="34" t="str">
        <x:v>Analysis_Role</x:v>
      </x:c>
      <x:c r="F1" s="34" t="str">
        <x:v>Study_Type</x:v>
      </x:c>
      <x:c r="G1" s="34" t="str">
        <x:v>Cohort</x:v>
      </x:c>
      <x:c r="H1" s="34" t="str">
        <x:v>Population_Ancestry</x:v>
      </x:c>
      <x:c r="I1" s="34" t="str">
        <x:v>Sample_Size_Total</x:v>
      </x:c>
      <x:c r="J1" s="34" t="str">
        <x:v>Cases</x:v>
      </x:c>
      <x:c r="K1" s="34" t="str">
        <x:v>Controls</x:v>
      </x:c>
      <x:c r="L1" s="34" t="str">
        <x:v>Age_or_Inclusion</x:v>
      </x:c>
      <x:c r="M1" s="34" t="str">
        <x:v>Genome_Build</x:v>
      </x:c>
      <x:c r="N1" s="34" t="str">
        <x:v>Data_Type</x:v>
      </x:c>
      <x:c r="O1" s="34" t="str">
        <x:v>Open_Columns</x:v>
      </x:c>
      <x:c r="P1" s="34" t="str">
        <x:v>Effect_Allele_Available</x:v>
      </x:c>
      <x:c r="Q1" s="34" t="str">
        <x:v>Effect_Size_Available</x:v>
      </x:c>
      <x:c r="R1" s="34" t="str">
        <x:v>Standard_Error_Available</x:v>
      </x:c>
      <x:c r="S1" s="34" t="str">
        <x:v>P_Value_Available</x:v>
      </x:c>
      <x:c r="T1" s="34" t="str">
        <x:v>Variant_QC_or_Filters</x:v>
      </x:c>
      <x:c r="U1" s="34" t="str">
        <x:v>Access_Level</x:v>
      </x:c>
      <x:c r="V1" s="34" t="str">
        <x:v>Publication_DOI</x:v>
      </x:c>
      <x:c r="W1" s="34" t="str">
        <x:v>NIAGADS_URL</x:v>
      </x:c>
      <x:c r="X1" s="34" t="str">
        <x:v>File_Version</x:v>
      </x:c>
      <x:c r="Y1" s="34" t="str">
        <x:v>Release_Date</x:v>
      </x:c>
      <x:c r="Z1" s="34" t="str">
        <x:v>File_Size_MB</x:v>
      </x:c>
      <x:c r="AA1" s="34" t="str">
        <x:v>Notes</x:v>
      </x:c>
    </x:row>
    <x:row r="2">
      <x:c r="A2" s="35" t="str">
        <x:v>NG00175</x:v>
      </x:c>
      <x:c r="B2" s="35" t="str">
        <x:v>fsa000146</x:v>
      </x:c>
      <x:c r="C2" s="35" t="str">
        <x:v>diffuse_abeta_Shade_2024_p-valueOnly.txt</x:v>
      </x:c>
      <x:c r="D2" s="35" t="str">
        <x:v>Amyloid-beta plaques</x:v>
      </x:c>
      <x:c r="E2" s="35" t="str">
        <x:v>Primary pathology GWAS: amyloid</x:v>
      </x:c>
      <x:c r="F2" s="35" t="str">
        <x:v>GWAS meta-analysis of neuropathology endophenotype</x:v>
      </x:c>
      <x:c r="G2" s="35" t="str">
        <x:v>NACC; ACT; ROS/MAP</x:v>
      </x:c>
      <x:c r="H2" s="35" t="str">
        <x:v>Predominantly European; non-European ancestry excluded due to small sample sizes</x:v>
      </x:c>
      <x:c r="I2" s="35" t="str">
        <x:v>Up to 7,804 autopsied participants; phenotype-specific N varies</x:v>
      </x:c>
      <x:c r="J2" s="35" t="str">
        <x:v>N/A</x:v>
      </x:c>
      <x:c r="K2" s="35" t="str">
        <x:v>N/A</x:v>
      </x:c>
      <x:c r="L2" s="35" t="str">
        <x:v>Deceased participants with genotype and brain autopsy data</x:v>
      </x:c>
      <x:c r="M2" s="35" t="str">
        <x:v>GRCh38</x:v>
      </x:c>
      <x:c r="N2" s="35" t="str">
        <x:v>Open p-value-only GWAS summary statistics</x:v>
      </x:c>
      <x:c r="O2" s="35" t="str">
        <x:v>chr; pos; MarkerName; P.value; Direction; HetISq; HetChiSq; HetDf; HetPVal; Nacc_direction; ACT_direction; ROSMAP_direction</x:v>
      </x:c>
      <x:c r="P2" s="35" t="str">
        <x:v>No</x:v>
      </x:c>
      <x:c r="Q2" s="35" t="str">
        <x:v>No</x:v>
      </x:c>
      <x:c r="R2" s="35" t="str">
        <x:v>No</x:v>
      </x:c>
      <x:c r="S2" s="35" t="str">
        <x:v>Yes</x:v>
      </x:c>
      <x:c r="T2" s="35" t="str">
        <x:v>Not multiallelic; MAF &gt;=1% in &gt;=1 study; MAC &gt;=20; imputation R2 &gt;=0.8; HWE P &gt;1e-6</x:v>
      </x:c>
      <x:c r="U2" s="35" t="str">
        <x:v>Open p-value-only; full summary statistics controlled access</x:v>
      </x:c>
      <x:c r="V2" s="35" t="str">
        <x:v>https://doi.org/10.1038/s41588-024-01939-9</x:v>
      </x:c>
      <x:c r="W2" s="35" t="str">
        <x:v>https://dss.niagads.org/datasets/ng00175/</x:v>
      </x:c>
      <x:c r="X2" s="35" t="str">
        <x:v>2025.03.28</x:v>
      </x:c>
      <x:c r="Y2" s="35" t="str">
        <x:v>2025-08-06</x:v>
      </x:c>
      <x:c r="Z2" s="38" t="n">
        <x:v>518</x:v>
      </x:c>
      <x:c r="AA2" s="35" t="str">
        <x:v>Main amyloid pathology file for comparison with SEA-AD amyloid measures</x:v>
      </x:c>
    </x:row>
    <x:row r="3">
      <x:c r="A3" s="35" t="str">
        <x:v>NG00175</x:v>
      </x:c>
      <x:c r="B3" s="35" t="str">
        <x:v>fsa000146</x:v>
      </x:c>
      <x:c r="C3" s="35" t="str">
        <x:v>braak_Shade_2024_p-valueOnly.txt</x:v>
      </x:c>
      <x:c r="D3" s="35" t="str">
        <x:v>Tau neurofibrillary tangles / Braak stage</x:v>
      </x:c>
      <x:c r="E3" s="35" t="str">
        <x:v>Primary pathology GWAS: tau</x:v>
      </x:c>
      <x:c r="F3" s="35" t="str">
        <x:v>GWAS meta-analysis of neuropathology endophenotype</x:v>
      </x:c>
      <x:c r="G3" s="35" t="str">
        <x:v>NACC; ACT; ROS/MAP</x:v>
      </x:c>
      <x:c r="H3" s="35" t="str">
        <x:v>Predominantly European; non-European ancestry excluded due to small sample sizes</x:v>
      </x:c>
      <x:c r="I3" s="35" t="str">
        <x:v>Up to 7,804 autopsied participants; phenotype-specific N varies</x:v>
      </x:c>
      <x:c r="J3" s="35" t="str">
        <x:v>N/A</x:v>
      </x:c>
      <x:c r="K3" s="35" t="str">
        <x:v>N/A</x:v>
      </x:c>
      <x:c r="L3" s="35" t="str">
        <x:v>Deceased participants with genotype and brain autopsy data</x:v>
      </x:c>
      <x:c r="M3" s="35" t="str">
        <x:v>GRCh38</x:v>
      </x:c>
      <x:c r="N3" s="35" t="str">
        <x:v>Open p-value-only GWAS summary statistics</x:v>
      </x:c>
      <x:c r="O3" s="35" t="str">
        <x:v>chr; pos; MarkerName; P.value; Direction; HetISq; HetChiSq; HetDf; HetPVal; Nacc_direction; ACT_direction; ROSMAP_direction</x:v>
      </x:c>
      <x:c r="P3" s="35" t="str">
        <x:v>No</x:v>
      </x:c>
      <x:c r="Q3" s="35" t="str">
        <x:v>No</x:v>
      </x:c>
      <x:c r="R3" s="35" t="str">
        <x:v>No</x:v>
      </x:c>
      <x:c r="S3" s="35" t="str">
        <x:v>Yes</x:v>
      </x:c>
      <x:c r="T3" s="35" t="str">
        <x:v>Not multiallelic; MAF &gt;=1% in &gt;=1 study; MAC &gt;=20; imputation R2 &gt;=0.8; HWE P &gt;1e-6</x:v>
      </x:c>
      <x:c r="U3" s="35" t="str">
        <x:v>Open p-value-only; full summary statistics controlled access</x:v>
      </x:c>
      <x:c r="V3" s="35" t="str">
        <x:v>https://doi.org/10.1038/s41588-024-01939-9</x:v>
      </x:c>
      <x:c r="W3" s="35" t="str">
        <x:v>https://dss.niagads.org/datasets/ng00175/</x:v>
      </x:c>
      <x:c r="X3" s="35" t="str">
        <x:v>2025.03.28</x:v>
      </x:c>
      <x:c r="Y3" s="35" t="str">
        <x:v>2025-08-06</x:v>
      </x:c>
      <x:c r="Z3" s="38" t="n">
        <x:v>532.4</x:v>
      </x:c>
      <x:c r="AA3" s="35" t="str">
        <x:v>Main tau pathology file; Braak stage reflects NFT spread</x:v>
      </x:c>
    </x:row>
    <x:row r="4">
      <x:c r="A4" s="35" t="str">
        <x:v>NG00175</x:v>
      </x:c>
      <x:c r="B4" s="35" t="str">
        <x:v>fsa000146</x:v>
      </x:c>
      <x:c r="C4" s="35" t="str">
        <x:v>cerad_Shade_2024_p-valueOnly.txt</x:v>
      </x:c>
      <x:c r="D4" s="35" t="str">
        <x:v>Neuritic plaques / CERAD</x:v>
      </x:c>
      <x:c r="E4" s="35" t="str">
        <x:v>Secondary plaque pathology GWAS</x:v>
      </x:c>
      <x:c r="F4" s="35" t="str">
        <x:v>GWAS meta-analysis of neuropathology endophenotype</x:v>
      </x:c>
      <x:c r="G4" s="35" t="str">
        <x:v>NACC; ACT; ROS/MAP</x:v>
      </x:c>
      <x:c r="H4" s="35" t="str">
        <x:v>Predominantly European; non-European ancestry excluded due to small sample sizes</x:v>
      </x:c>
      <x:c r="I4" s="35" t="str">
        <x:v>Up to 7,804 autopsied participants; phenotype-specific N varies</x:v>
      </x:c>
      <x:c r="J4" s="35" t="str">
        <x:v>N/A</x:v>
      </x:c>
      <x:c r="K4" s="35" t="str">
        <x:v>N/A</x:v>
      </x:c>
      <x:c r="L4" s="35" t="str">
        <x:v>Deceased participants with genotype and brain autopsy data</x:v>
      </x:c>
      <x:c r="M4" s="35" t="str">
        <x:v>GRCh38</x:v>
      </x:c>
      <x:c r="N4" s="35" t="str">
        <x:v>Open p-value-only GWAS summary statistics</x:v>
      </x:c>
      <x:c r="O4" s="35" t="str">
        <x:v>chr; pos; MarkerName; P.value; Direction; HetISq; HetChiSq; HetDf; HetPVal; Nacc_direction; ACT_direction; ROSMAP_direction</x:v>
      </x:c>
      <x:c r="P4" s="35" t="str">
        <x:v>No</x:v>
      </x:c>
      <x:c r="Q4" s="35" t="str">
        <x:v>No</x:v>
      </x:c>
      <x:c r="R4" s="35" t="str">
        <x:v>No</x:v>
      </x:c>
      <x:c r="S4" s="35" t="str">
        <x:v>Yes</x:v>
      </x:c>
      <x:c r="T4" s="35" t="str">
        <x:v>Not multiallelic; MAF &gt;=1% in &gt;=1 study; MAC &gt;=20; imputation R2 &gt;=0.8; HWE P &gt;1e-6</x:v>
      </x:c>
      <x:c r="U4" s="35" t="str">
        <x:v>Open p-value-only; full summary statistics controlled access</x:v>
      </x:c>
      <x:c r="V4" s="35" t="str">
        <x:v>https://doi.org/10.1038/s41588-024-01939-9</x:v>
      </x:c>
      <x:c r="W4" s="35" t="str">
        <x:v>https://dss.niagads.org/datasets/ng00175/</x:v>
      </x:c>
      <x:c r="X4" s="35" t="str">
        <x:v>2025.03.28</x:v>
      </x:c>
      <x:c r="Y4" s="35" t="str">
        <x:v>2025-08-06</x:v>
      </x:c>
      <x:c r="Z4" s="38" t="n">
        <x:v>532.1</x:v>
      </x:c>
      <x:c r="AA4" s="35" t="str">
        <x:v>Secondary plaque phenotype for supporting/validation analysis</x:v>
      </x:c>
    </x:row>
    <x:row r="5">
      <x:c r="A5" s="35" t="str">
        <x:v>NG00182</x:v>
      </x:c>
      <x:c r="B5" s="35" t="str">
        <x:v>fsa000147</x:v>
      </x:c>
      <x:c r="C5" s="35" t="str">
        <x:v>gard.gwas.sum.stat_total.txt</x:v>
      </x:c>
      <x:c r="D5" s="35" t="str">
        <x:v>Alzheimer disease case vs control</x:v>
      </x:c>
      <x:c r="E5" s="35" t="str">
        <x:v>Primary/secondary AD diagnosis GWAS (Korean WGS)</x:v>
      </x:c>
      <x:c r="F5" s="35" t="str">
        <x:v>Single-variant case-control GWAS using WGS</x:v>
      </x:c>
      <x:c r="G5" s="35" t="str">
        <x:v>GARD</x:v>
      </x:c>
      <x:c r="H5" s="35" t="str">
        <x:v>Korean / East Asian</x:v>
      </x:c>
      <x:c r="I5" s="35" t="n">
        <x:v>3540</x:v>
      </x:c>
      <x:c r="J5" s="35" t="n">
        <x:v>1583</x:v>
      </x:c>
      <x:c r="K5" s="35" t="n">
        <x:v>1957</x:v>
      </x:c>
      <x:c r="L5" s="35" t="str">
        <x:v>Age 60 years or older</x:v>
      </x:c>
      <x:c r="M5" s="35" t="str">
        <x:v>GRCh38</x:v>
      </x:c>
      <x:c r="N5" s="35" t="str">
        <x:v>Open GWAS summary statistics</x:v>
      </x:c>
      <x:c r="O5" s="35" t="str">
        <x:v>chr; pos; alt; ref; beta; se; P; Z</x:v>
      </x:c>
      <x:c r="P5" s="35" t="str">
        <x:v>Yes</x:v>
      </x:c>
      <x:c r="Q5" s="35" t="str">
        <x:v>Yes</x:v>
      </x:c>
      <x:c r="R5" s="35" t="str">
        <x:v>Yes</x:v>
      </x:c>
      <x:c r="S5" s="35" t="str">
        <x:v>Yes</x:v>
      </x:c>
      <x:c r="T5" s="35" t="str">
        <x:v>MAC &gt;=10; call rate &gt;0.95</x:v>
      </x:c>
      <x:c r="U5" s="35" t="str">
        <x:v>Open</x:v>
      </x:c>
      <x:c r="V5" s="35" t="str">
        <x:v>https://doi.org/10.1002/alz.14128</x:v>
      </x:c>
      <x:c r="W5" s="35" t="str">
        <x:v>https://dss.niagads.org/datasets/ng00182/</x:v>
      </x:c>
      <x:c r="X5" s="35" t="str">
        <x:v>Not provided</x:v>
      </x:c>
      <x:c r="Y5" s="35" t="str">
        <x:v>Not provided</x:v>
      </x:c>
      <x:c r="Z5" s="38" t="str"/>
      <x:c r="AA5" s="35" t="str">
        <x:v>30x WGS; NovaSeq 6000; total-sample analysis</x:v>
      </x:c>
    </x:row>
    <x:row r="6">
      <x:c r="A6" s="35" t="str">
        <x:v>NG00182</x:v>
      </x:c>
      <x:c r="B6" s="35" t="str">
        <x:v>fsa000147</x:v>
      </x:c>
      <x:c r="C6" s="35" t="str">
        <x:v>metal.gwas.sum.stat_total.txt</x:v>
      </x:c>
      <x:c r="D6" s="35" t="str">
        <x:v>Alzheimer disease case vs control</x:v>
      </x:c>
      <x:c r="E6" s="35" t="str">
        <x:v>Main AD diagnosis meta-analysis (Korean + Japanese)</x:v>
      </x:c>
      <x:c r="F6" s="35" t="str">
        <x:v>Inverse-variance weighted GWAS meta-analysis (METAL)</x:v>
      </x:c>
      <x:c r="G6" s="35" t="str">
        <x:v>GARD + JGSCAD</x:v>
      </x:c>
      <x:c r="H6" s="35" t="str">
        <x:v>Korean + Japanese / East Asian</x:v>
      </x:c>
      <x:c r="I6" s="35" t="n">
        <x:v>6518</x:v>
      </x:c>
      <x:c r="J6" s="35" t="n">
        <x:v>2919</x:v>
      </x:c>
      <x:c r="K6" s="35" t="n">
        <x:v>3599</x:v>
      </x:c>
      <x:c r="L6" s="35" t="str">
        <x:v>GARD age &gt;=60; JGSCAD age &gt;=65</x:v>
      </x:c>
      <x:c r="M6" s="35" t="str">
        <x:v>GRCh38</x:v>
      </x:c>
      <x:c r="N6" s="35" t="str">
        <x:v>Open GWAS summary statistics</x:v>
      </x:c>
      <x:c r="O6" s="35" t="str">
        <x:v>chr; pos; alt; ref; beta; se; P; Z</x:v>
      </x:c>
      <x:c r="P6" s="35" t="str">
        <x:v>Yes</x:v>
      </x:c>
      <x:c r="Q6" s="35" t="str">
        <x:v>Yes</x:v>
      </x:c>
      <x:c r="R6" s="35" t="str">
        <x:v>Yes</x:v>
      </x:c>
      <x:c r="S6" s="35" t="str">
        <x:v>Yes</x:v>
      </x:c>
      <x:c r="T6" s="35" t="str">
        <x:v>GARD: MAC &gt;=10, call rate &gt;0.95; JGSCAD: MAF &gt;0.01, call rate &gt;0.95</x:v>
      </x:c>
      <x:c r="U6" s="35" t="str">
        <x:v>Open</x:v>
      </x:c>
      <x:c r="V6" s="35" t="str">
        <x:v>https://doi.org/10.1002/alz.14128</x:v>
      </x:c>
      <x:c r="W6" s="35" t="str">
        <x:v>https://dss.niagads.org/datasets/ng00182/</x:v>
      </x:c>
      <x:c r="X6" s="35" t="str">
        <x:v>Not provided</x:v>
      </x:c>
      <x:c r="Y6" s="35" t="str">
        <x:v>Not provided</x:v>
      </x:c>
      <x:c r="Z6" s="38" t="str"/>
      <x:c r="AA6" s="35" t="str">
        <x:v>Combined Korean WGS and Japanese SNP-array GWAS using inverse-variance weighted METAL</x:v>
      </x:c>
    </x:row>
    <x:row r="7">
      <x:c r="Z7" s="39"/>
    </x:row>
    <x:row r="8">
      <x:c r="Z8" s="39"/>
    </x:row>
    <x:row r="9">
      <x:c r="Z9" s="39"/>
    </x:row>
    <x:row r="10">
      <x:c r="Z10" s="39"/>
    </x:row>
    <x:row r="11">
      <x:c r="Z11" s="39"/>
    </x:row>
    <x:row r="12">
      <x:c r="Z12" s="39"/>
    </x:row>
    <x:row r="13">
      <x:c r="Z13" s="39"/>
    </x:row>
    <x:row r="14">
      <x:c r="Z14" s="39"/>
    </x:row>
    <x:row r="15">
      <x:c r="Z15" s="39"/>
    </x:row>
    <x:row r="16">
      <x:c r="Z16" s="39"/>
    </x:row>
    <x:row r="17">
      <x:c r="Z17" s="39"/>
    </x:row>
    <x:row r="18">
      <x:c r="Z18" s="39"/>
    </x:row>
    <x:row r="19">
      <x:c r="Z19" s="39"/>
    </x:row>
    <x:row r="20">
      <x:c r="Z20" s="39"/>
    </x:row>
    <x:row r="21">
      <x:c r="Z21" s="39"/>
    </x:row>
    <x:row r="22">
      <x:c r="Z22" s="39"/>
    </x:row>
    <x:row r="23">
      <x:c r="Z23" s="39"/>
    </x:row>
    <x:row r="24">
      <x:c r="Z24" s="39"/>
    </x:row>
    <x:row r="25">
      <x:c r="Z25" s="39"/>
    </x:row>
    <x:row r="26">
      <x:c r="Z26" s="39"/>
    </x:row>
    <x:row r="27">
      <x:c r="Z27" s="39"/>
    </x:row>
    <x:row r="28">
      <x:c r="Z28" s="39"/>
    </x:row>
    <x:row r="29">
      <x:c r="Z29" s="39"/>
    </x:row>
    <x:row r="30">
      <x:c r="Z30" s="39"/>
    </x:row>
    <x:row r="31">
      <x:c r="Z31" s="39"/>
    </x:row>
    <x:row r="32">
      <x:c r="Z32" s="39"/>
    </x:row>
    <x:row r="33">
      <x:c r="Z33" s="39"/>
    </x:row>
    <x:row r="34">
      <x:c r="Z34" s="39"/>
    </x:row>
    <x:row r="35">
      <x:c r="Z35" s="39"/>
    </x:row>
    <x:row r="36">
      <x:c r="Z36" s="39"/>
    </x:row>
    <x:row r="37">
      <x:c r="Z37" s="39"/>
    </x:row>
    <x:row r="38">
      <x:c r="Z38" s="39"/>
    </x:row>
    <x:row r="39">
      <x:c r="Z39" s="39"/>
    </x:row>
    <x:row r="40">
      <x:c r="Z40" s="39"/>
    </x:row>
    <x:row r="41">
      <x:c r="Z41" s="39"/>
    </x:row>
    <x:row r="42">
      <x:c r="Z42" s="39"/>
    </x:row>
    <x:row r="43">
      <x:c r="Z43" s="39"/>
    </x:row>
    <x:row r="44">
      <x:c r="Z44" s="39"/>
    </x:row>
    <x:row r="45">
      <x:c r="Z45" s="39"/>
    </x:row>
    <x:row r="46">
      <x:c r="Z46" s="39"/>
    </x:row>
    <x:row r="47">
      <x:c r="Z47" s="39"/>
    </x:row>
    <x:row r="48">
      <x:c r="Z48" s="39"/>
    </x:row>
    <x:row r="49">
      <x:c r="Z49" s="39"/>
    </x:row>
    <x:row r="50">
      <x:c r="Z50" s="39"/>
    </x:row>
    <x:row r="51">
      <x:c r="Z51" s="39"/>
    </x:row>
    <x:row r="52">
      <x:c r="Z52" s="39"/>
    </x:row>
    <x:row r="53">
      <x:c r="Z53" s="39"/>
    </x:row>
    <x:row r="54">
      <x:c r="Z54" s="39"/>
    </x:row>
    <x:row r="55">
      <x:c r="Z55" s="39"/>
    </x:row>
    <x:row r="56">
      <x:c r="Z56" s="39"/>
    </x:row>
    <x:row r="57">
      <x:c r="Z57" s="39"/>
    </x:row>
    <x:row r="58">
      <x:c r="Z58" s="39"/>
    </x:row>
    <x:row r="59">
      <x:c r="Z59" s="39"/>
    </x:row>
    <x:row r="60">
      <x:c r="Z60" s="39"/>
    </x:row>
    <x:row r="61">
      <x:c r="Z61" s="39"/>
    </x:row>
    <x:row r="62">
      <x:c r="Z62" s="39"/>
    </x:row>
    <x:row r="63">
      <x:c r="Z63" s="39"/>
    </x:row>
    <x:row r="64">
      <x:c r="Z64" s="39"/>
    </x:row>
    <x:row r="65">
      <x:c r="Z65" s="39"/>
    </x:row>
    <x:row r="66">
      <x:c r="Z66" s="39"/>
    </x:row>
    <x:row r="67">
      <x:c r="Z67" s="39"/>
    </x:row>
    <x:row r="68">
      <x:c r="Z68" s="39"/>
    </x:row>
    <x:row r="69">
      <x:c r="Z69" s="39"/>
    </x:row>
    <x:row r="70">
      <x:c r="Z70" s="39"/>
    </x:row>
    <x:row r="71">
      <x:c r="Z71" s="39"/>
    </x:row>
    <x:row r="72">
      <x:c r="Z72" s="39"/>
    </x:row>
    <x:row r="73">
      <x:c r="Z73" s="39"/>
    </x:row>
    <x:row r="74">
      <x:c r="Z74" s="39"/>
    </x:row>
    <x:row r="75">
      <x:c r="Z75" s="39"/>
    </x:row>
    <x:row r="76">
      <x:c r="Z76" s="39"/>
    </x:row>
    <x:row r="77">
      <x:c r="Z77" s="39"/>
    </x:row>
    <x:row r="78">
      <x:c r="Z78" s="39"/>
    </x:row>
    <x:row r="79">
      <x:c r="Z79" s="39"/>
    </x:row>
    <x:row r="80">
      <x:c r="Z80" s="39"/>
    </x:row>
    <x:row r="81">
      <x:c r="Z81" s="39"/>
    </x:row>
    <x:row r="82">
      <x:c r="Z82" s="39"/>
    </x:row>
    <x:row r="83">
      <x:c r="Z83" s="39"/>
    </x:row>
    <x:row r="84">
      <x:c r="Z84" s="39"/>
    </x:row>
    <x:row r="85">
      <x:c r="Z85" s="39"/>
    </x:row>
    <x:row r="86">
      <x:c r="Z86" s="39"/>
    </x:row>
    <x:row r="87">
      <x:c r="Z87" s="39"/>
    </x:row>
    <x:row r="88">
      <x:c r="Z88" s="39"/>
    </x:row>
    <x:row r="89">
      <x:c r="Z89" s="39"/>
    </x:row>
    <x:row r="90">
      <x:c r="Z90" s="39"/>
    </x:row>
    <x:row r="91">
      <x:c r="Z91" s="39"/>
    </x:row>
    <x:row r="92">
      <x:c r="Z92" s="39"/>
    </x:row>
    <x:row r="93">
      <x:c r="Z93" s="39"/>
    </x:row>
    <x:row r="94">
      <x:c r="Z94" s="39"/>
    </x:row>
    <x:row r="95">
      <x:c r="Z95" s="39"/>
    </x:row>
    <x:row r="96">
      <x:c r="Z96" s="39"/>
    </x:row>
    <x:row r="97">
      <x:c r="Z97" s="39"/>
    </x:row>
    <x:row r="98">
      <x:c r="Z98" s="39"/>
    </x:row>
    <x:row r="99">
      <x:c r="Z99" s="39"/>
    </x:row>
    <x:row r="100">
      <x:c r="Z100" s="39"/>
    </x:row>
  </x:sheetData>
  <x:pageMargins left="0.7" right="0.7" top="0.75" bottom="0.75" header="0.3" footer="0.3"/>
  <x:tableParts count="1">
    <x:tablePart xmlns:r="http://schemas.openxmlformats.org/officeDocument/2006/relationships" r:id="R3490cd33a6c845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12" t="str">
        <x:v>Field</x:v>
      </x:c>
      <x:c r="B1" s="12" t="str">
        <x:v>Definition</x:v>
      </x:c>
    </x:row>
    <x:row r="2">
      <x:c r="A2" s="26" t="str">
        <x:v>Study_Accession</x:v>
      </x:c>
      <x:c r="B2" s="26" t="str">
        <x:v>NIAGADS dataset accession (e.g., NG00175).</x:v>
      </x:c>
    </x:row>
    <x:row r="3">
      <x:c r="A3" s="26" t="str">
        <x:v>FileSet_Accession</x:v>
      </x:c>
      <x:c r="B3" s="26" t="str">
        <x:v>NIAGADS fileset accession containing the downloaded file.</x:v>
      </x:c>
    </x:row>
    <x:row r="4">
      <x:c r="A4" s="26" t="str">
        <x:v>Filename</x:v>
      </x:c>
      <x:c r="B4" s="26" t="str">
        <x:v>Exact downloaded summary-statistics filename.</x:v>
      </x:c>
    </x:row>
    <x:row r="5">
      <x:c r="A5" s="26" t="str">
        <x:v>Phenotype</x:v>
      </x:c>
      <x:c r="B5" s="26" t="str">
        <x:v>Trait tested in the GWAS.</x:v>
      </x:c>
    </x:row>
    <x:row r="6">
      <x:c r="A6" s="26" t="str">
        <x:v>Analysis_Role</x:v>
      </x:c>
      <x:c r="B6" s="26" t="str">
        <x:v>How the file will be used in the thesis.</x:v>
      </x:c>
    </x:row>
    <x:row r="7">
      <x:c r="A7" s="26" t="str">
        <x:v>Study_Type</x:v>
      </x:c>
      <x:c r="B7" s="26" t="str">
        <x:v>GWAS design or meta-analysis type.</x:v>
      </x:c>
    </x:row>
    <x:row r="8">
      <x:c r="A8" s="26" t="str">
        <x:v>Cohort</x:v>
      </x:c>
      <x:c r="B8" s="26" t="str">
        <x:v>Study cohorts contributing to the summary statistics.</x:v>
      </x:c>
    </x:row>
    <x:row r="9">
      <x:c r="A9" s="26" t="str">
        <x:v>Population_Ancestry</x:v>
      </x:c>
      <x:c r="B9" s="26" t="str">
        <x:v>Ancestry/population relevant for interpretation and LD reference selection.</x:v>
      </x:c>
    </x:row>
    <x:row r="10">
      <x:c r="A10" s="26" t="str">
        <x:v>Sample_Size_Total</x:v>
      </x:c>
      <x:c r="B10" s="26" t="str">
        <x:v>Overall sample size; if phenotype-specific N is unavailable, this is noted.</x:v>
      </x:c>
    </x:row>
    <x:row r="11">
      <x:c r="A11" s="26" t="str">
        <x:v>Cases / Controls</x:v>
      </x:c>
      <x:c r="B11" s="26" t="str">
        <x:v>Case-control counts where applicable.</x:v>
      </x:c>
    </x:row>
    <x:row r="12">
      <x:c r="A12" s="26" t="str">
        <x:v>Age_or_Inclusion</x:v>
      </x:c>
      <x:c r="B12" s="26" t="str">
        <x:v>Age limits or key inclusion criteria from the study documentation.</x:v>
      </x:c>
    </x:row>
    <x:row r="13">
      <x:c r="A13" s="26" t="str">
        <x:v>Genome_Build</x:v>
      </x:c>
      <x:c r="B13" s="26" t="str">
        <x:v>Reference genome build for genomic coordinates.</x:v>
      </x:c>
    </x:row>
    <x:row r="14">
      <x:c r="A14" s="26" t="str">
        <x:v>Data_Type</x:v>
      </x:c>
      <x:c r="B14" s="26" t="str">
        <x:v>Type and access level of the summary-statistics file.</x:v>
      </x:c>
    </x:row>
    <x:row r="15">
      <x:c r="A15" s="26" t="str">
        <x:v>Open_Columns</x:v>
      </x:c>
      <x:c r="B15" s="26" t="str">
        <x:v>Columns available in the downloaded open-access file.</x:v>
      </x:c>
    </x:row>
    <x:row r="16">
      <x:c r="A16" s="26" t="str">
        <x:v>Effect_Allele_Available</x:v>
      </x:c>
      <x:c r="B16" s="26" t="str">
        <x:v>Whether the tested/effect allele is present in the open file.</x:v>
      </x:c>
    </x:row>
    <x:row r="17">
      <x:c r="A17" s="26" t="str">
        <x:v>Effect_Size_Available</x:v>
      </x:c>
      <x:c r="B17" s="26" t="str">
        <x:v>Whether beta/log-OR or another effect estimate is present.</x:v>
      </x:c>
    </x:row>
    <x:row r="18">
      <x:c r="A18" s="26" t="str">
        <x:v>Standard_Error_Available</x:v>
      </x:c>
      <x:c r="B18" s="26" t="str">
        <x:v>Whether standard error of the effect estimate is present.</x:v>
      </x:c>
    </x:row>
    <x:row r="19">
      <x:c r="A19" s="26" t="str">
        <x:v>P_Value_Available</x:v>
      </x:c>
      <x:c r="B19" s="26" t="str">
        <x:v>Whether variant-level association p-values are present.</x:v>
      </x:c>
    </x:row>
    <x:row r="20">
      <x:c r="A20" s="26" t="str">
        <x:v>Variant_QC_or_Filters</x:v>
      </x:c>
      <x:c r="B20" s="26" t="str">
        <x:v>QC thresholds reported by the source study.</x:v>
      </x:c>
    </x:row>
    <x:row r="21">
      <x:c r="A21" s="26" t="str">
        <x:v>Access_Level</x:v>
      </x:c>
      <x:c r="B21" s="26" t="str">
        <x:v>Open vs controlled access.</x:v>
      </x:c>
    </x:row>
    <x:row r="22">
      <x:c r="A22" s="26" t="str">
        <x:v>Publication_DOI</x:v>
      </x:c>
      <x:c r="B22" s="26" t="str">
        <x:v>Primary publication DOI.</x:v>
      </x:c>
    </x:row>
    <x:row r="23">
      <x:c r="A23" s="26" t="str">
        <x:v>NIAGADS_URL</x:v>
      </x:c>
      <x:c r="B23" s="26" t="str">
        <x:v>Dataset landing page.</x:v>
      </x:c>
    </x:row>
    <x:row r="24">
      <x:c r="A24" s="26" t="str">
        <x:v>File_Version / Release_Date</x:v>
      </x:c>
      <x:c r="B24" s="26" t="str">
        <x:v>Manifest version and release date when available.</x:v>
      </x:c>
    </x:row>
    <x:row r="25">
      <x:c r="A25" s="26" t="str">
        <x:v>File_Size_MB</x:v>
      </x:c>
      <x:c r="B25" s="26" t="str">
        <x:v>Approximate downloaded file size from the manifest.</x:v>
      </x:c>
    </x:row>
    <x:row r="26">
      <x:c r="A26" s="26" t="str">
        <x:v>Notes</x:v>
      </x:c>
      <x:c r="B26" s="26" t="str">
        <x:v>Analysis-specific caveats or intended use.</x:v>
      </x:c>
    </x:row>
  </x:sheetData>
  <x:pageMargins left="0.7" right="0.7" top="0.75" bottom="0.75" header="0.3" footer="0.3"/>
  <x:tableParts count="1">
    <x:tablePart xmlns:r="http://schemas.openxmlformats.org/officeDocument/2006/relationships" r:id="R0cf144b621e24f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5" hidden="0" customWidth="1"/>
    <x:col min="9" max="9" width="14" hidden="0" customWidth="1"/>
    <x:col min="10" max="10" width="38" hidden="0" customWidth="1"/>
  </x:cols>
  <x:sheetData>
    <x:row r="1">
      <x:c r="A1" s="12" t="str">
        <x:v>Study</x:v>
      </x:c>
      <x:c r="B1" s="12" t="str">
        <x:v>Filename</x:v>
      </x:c>
      <x:c r="C1" s="12" t="str">
        <x:v>Phenotype</x:v>
      </x:c>
      <x:c r="D1" s="12" t="str">
        <x:v>Raw_File_Collected</x:v>
      </x:c>
      <x:c r="E1" s="12" t="str">
        <x:v>README_Collected</x:v>
      </x:c>
      <x:c r="F1" s="12" t="str">
        <x:v>Metadata_Reviewed</x:v>
      </x:c>
      <x:c r="G1" s="12" t="str">
        <x:v>Status</x:v>
      </x:c>
      <x:c r="H1" s="12" t="str">
        <x:v>Next_Step</x:v>
      </x:c>
      <x:c r="I1" s="12" t="str">
        <x:v>QC_Date</x:v>
      </x:c>
      <x:c r="J1" s="12" t="str">
        <x:v>Notes</x:v>
      </x:c>
    </x:row>
    <x:row r="2">
      <x:c r="A2" s="26" t="str">
        <x:v>NG00175</x:v>
      </x:c>
      <x:c r="B2" s="26" t="str">
        <x:v>diffuse_abeta_Shade_2024_p-valueOnly.txt</x:v>
      </x:c>
      <x:c r="C2" s="26" t="str">
        <x:v>Amyloid-beta plaques</x:v>
      </x:c>
      <x:c r="D2" s="26" t="str">
        <x:v>Yes</x:v>
      </x:c>
      <x:c r="E2" s="26" t="str">
        <x:v>Yes</x:v>
      </x:c>
      <x:c r="F2" s="26" t="str">
        <x:v>Yes</x:v>
      </x:c>
      <x:c r="G2" s="26" t="str">
        <x:v>Collected</x:v>
      </x:c>
      <x:c r="H2" s="26" t="str">
        <x:v>Inspect file header, row count, missingness, duplicates, p-value range, and coordinate format</x:v>
      </x:c>
      <x:c r="I2" s="26" t="str"/>
      <x:c r="J2" s="26" t="str"/>
    </x:row>
    <x:row r="3">
      <x:c r="A3" s="26" t="str">
        <x:v>NG00175</x:v>
      </x:c>
      <x:c r="B3" s="26" t="str">
        <x:v>braak_Shade_2024_p-valueOnly.txt</x:v>
      </x:c>
      <x:c r="C3" s="26" t="str">
        <x:v>Tau neurofibrillary tangles / Braak stage</x:v>
      </x:c>
      <x:c r="D3" s="26" t="str">
        <x:v>Yes</x:v>
      </x:c>
      <x:c r="E3" s="26" t="str">
        <x:v>Yes</x:v>
      </x:c>
      <x:c r="F3" s="26" t="str">
        <x:v>Yes</x:v>
      </x:c>
      <x:c r="G3" s="26" t="str">
        <x:v>Collected</x:v>
      </x:c>
      <x:c r="H3" s="26" t="str">
        <x:v>Inspect file header, row count, missingness, duplicates, p-value range, and coordinate format</x:v>
      </x:c>
      <x:c r="I3" s="26" t="str"/>
      <x:c r="J3" s="26" t="str"/>
    </x:row>
    <x:row r="4">
      <x:c r="A4" s="26" t="str">
        <x:v>NG00175</x:v>
      </x:c>
      <x:c r="B4" s="26" t="str">
        <x:v>cerad_Shade_2024_p-valueOnly.txt</x:v>
      </x:c>
      <x:c r="C4" s="26" t="str">
        <x:v>Neuritic plaques / CERAD</x:v>
      </x:c>
      <x:c r="D4" s="26" t="str">
        <x:v>Yes</x:v>
      </x:c>
      <x:c r="E4" s="26" t="str">
        <x:v>Yes</x:v>
      </x:c>
      <x:c r="F4" s="26" t="str">
        <x:v>Yes</x:v>
      </x:c>
      <x:c r="G4" s="26" t="str">
        <x:v>Collected</x:v>
      </x:c>
      <x:c r="H4" s="26" t="str">
        <x:v>Inspect file header, row count, missingness, duplicates, p-value range, and coordinate format</x:v>
      </x:c>
      <x:c r="I4" s="26" t="str"/>
      <x:c r="J4" s="26" t="str"/>
    </x:row>
    <x:row r="5">
      <x:c r="A5" s="26" t="str">
        <x:v>NG00182</x:v>
      </x:c>
      <x:c r="B5" s="26" t="str">
        <x:v>gard.gwas.sum.stat_total.txt</x:v>
      </x:c>
      <x:c r="C5" s="26" t="str">
        <x:v>Alzheimer disease case vs control</x:v>
      </x:c>
      <x:c r="D5" s="26" t="str">
        <x:v>Yes</x:v>
      </x:c>
      <x:c r="E5" s="26" t="str">
        <x:v>Yes</x:v>
      </x:c>
      <x:c r="F5" s="26" t="str">
        <x:v>Yes</x:v>
      </x:c>
      <x:c r="G5" s="26" t="str">
        <x:v>Collected</x:v>
      </x:c>
      <x:c r="H5" s="26" t="str">
        <x:v>Inspect file header, row count, missingness, duplicates, p-value range, and coordinate format</x:v>
      </x:c>
      <x:c r="I5" s="26" t="str"/>
      <x:c r="J5" s="26" t="str"/>
    </x:row>
    <x:row r="6">
      <x:c r="A6" s="26" t="str">
        <x:v>NG00182</x:v>
      </x:c>
      <x:c r="B6" s="26" t="str">
        <x:v>metal.gwas.sum.stat_total.txt</x:v>
      </x:c>
      <x:c r="C6" s="26" t="str">
        <x:v>Alzheimer disease case vs control</x:v>
      </x:c>
      <x:c r="D6" s="26" t="str">
        <x:v>Yes</x:v>
      </x:c>
      <x:c r="E6" s="26" t="str">
        <x:v>Yes</x:v>
      </x:c>
      <x:c r="F6" s="26" t="str">
        <x:v>Yes</x:v>
      </x:c>
      <x:c r="G6" s="26" t="str">
        <x:v>Collected</x:v>
      </x:c>
      <x:c r="H6" s="26" t="str">
        <x:v>Inspect file header, row count, missingness, duplicates, p-value range, and coordinate format</x:v>
      </x:c>
      <x:c r="I6" s="26" t="str"/>
      <x:c r="J6" s="26" t="str"/>
    </x:row>
  </x:sheetData>
  <x:conditionalFormatting sqref="G2:G100">
    <x:cfRule type="expression" dxfId="0" priority="1">
      <x:formula>G2="Collected"</x:formula>
    </x:cfRule>
    <x:cfRule type="expression" dxfId="1" priority="2">
      <x:formula>G2="QC Started"</x:formula>
    </x:cfRule>
    <x:cfRule type="expression" dxfId="2" priority="3">
      <x:formula>G2="QC Complete"</x:formula>
    </x:cfRule>
    <x:cfRule type="expression" dxfId="3" priority="4">
      <x:formula>G2="Complete"</x:formula>
    </x:cfRule>
  </x:conditionalFormatting>
  <x:dataValidations count="1">
    <x:dataValidation type="list" sqref="G2:G100">
      <x:formula1>"Collected,QC Started,QC Complete,Variant Filtering,Locus Mapping,Gene Mapping,Complete"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e2993ce12541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12" t="str">
        <x:v>Source</x:v>
      </x:c>
      <x:c r="B1" s="12" t="str">
        <x:v>Key information captured</x:v>
      </x:c>
    </x:row>
    <x:row r="2">
      <x:c r="A2" s="26" t="str">
        <x:v>NG00175_P-values_Only_README.docx</x:v>
      </x:c>
      <x:c r="B2" s="26" t="str">
        <x:v>11 neuropathology endophenotypes; NACC/ACT/ROS-MAP; up to 7,804 autopsied participants; predominantly European; GRCh38; p-value-only column availability; reported variant QC filters; Shade et al. DOI.</x:v>
      </x:c>
    </x:row>
    <x:row r="3">
      <x:c r="A3" s="26" t="str">
        <x:v>NG00175.v1 (1).csv</x:v>
      </x:c>
      <x:c r="B3" s="26" t="str">
        <x:v>Manifest metadata for filenames, fileset accession, file version, release date, file size, access/consent, and MD5.</x:v>
      </x:c>
    </x:row>
    <x:row r="4">
      <x:c r="A4" s="26" t="str">
        <x:v>NG00182 README.txt</x:v>
      </x:c>
      <x:c r="B4" s="26" t="str">
        <x:v>GARD Korean WGS and Korean+Japanese METAL meta-analysis; sample sizes; GRCh38; file meanings; columns chr/pos/alt/ref/beta/se/P/Z; Kang et al. DOI.</x:v>
      </x:c>
    </x:row>
    <x:row r="5">
      <x:c r="A5" s="26" t="str">
        <x:v>NG00175 NIAGADS</x:v>
      </x:c>
      <x:c r="B5" s="26" t="str">
        <x:v>https://dss.niagads.org/datasets/ng00175/</x:v>
      </x:c>
    </x:row>
    <x:row r="6">
      <x:c r="A6" s="26" t="str">
        <x:v>NG00182 NIAGADS</x:v>
      </x:c>
      <x:c r="B6" s="26" t="str">
        <x:v>https://dss.niagads.org/datasets/ng00182/</x:v>
      </x:c>
    </x:row>
  </x:sheetData>
  <x:pageMargins left="0.7" right="0.7" top="0.75" bottom="0.75" header="0.3" footer="0.3"/>
</x:worksheet>
</file>